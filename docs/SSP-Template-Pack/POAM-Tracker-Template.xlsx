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A&amp;M Tracker" sheetId="1" state="visible" r:id="rId3"/>
    <sheet name="Summary Dashboard" sheetId="2" state="visible" r:id="rId4"/>
    <sheet name="Field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<sst xmlns="http://schemas.openxmlformats.org/spreadsheetml/2006/main" count="174" uniqueCount="138">
  <si>
    <t xml:space="preserve">Plan of Action &amp; Milestones (POA&amp;M) Tracker</t>
  </si>
  <si>
    <t xml:space="preserve">Track every open weakness from identification through closure. Fill in new rows below the examples — do not overwrite the column headers.</t>
  </si>
  <si>
    <t xml:space="preserve">POA&amp;M ID</t>
  </si>
  <si>
    <t xml:space="preserve">Weakness / Finding Name</t>
  </si>
  <si>
    <t xml:space="preserve">Related Control ID</t>
  </si>
  <si>
    <t xml:space="preserve">Source / Discovery Method</t>
  </si>
  <si>
    <t xml:space="preserve">Weakness Description</t>
  </si>
  <si>
    <t xml:space="preserve">Risk Rating</t>
  </si>
  <si>
    <t xml:space="preserve">Identified Date</t>
  </si>
  <si>
    <t xml:space="preserve">Scheduled Completion Date</t>
  </si>
  <si>
    <t xml:space="preserve">Milestone 1 — Description</t>
  </si>
  <si>
    <t xml:space="preserve">Milestone 1 — Target Date</t>
  </si>
  <si>
    <t xml:space="preserve">Milestone 2 — Description</t>
  </si>
  <si>
    <t xml:space="preserve">Milestone 2 — Target Date</t>
  </si>
  <si>
    <t xml:space="preserve">Responsible Party / POC</t>
  </si>
  <si>
    <t xml:space="preserve">Resources Required</t>
  </si>
  <si>
    <t xml:space="preserve">Status</t>
  </si>
  <si>
    <t xml:space="preserve">Status Date</t>
  </si>
  <si>
    <t xml:space="preserve">Actual Completion Date</t>
  </si>
  <si>
    <t xml:space="preserve">Days Open</t>
  </si>
  <si>
    <t xml:space="preserve">Overdue?</t>
  </si>
  <si>
    <t xml:space="preserve">Comments / Notes</t>
  </si>
  <si>
    <t xml:space="preserve">POAM-2026-001</t>
  </si>
  <si>
    <t xml:space="preserve">Multi-factor authentication not enforced for all privileged accounts</t>
  </si>
  <si>
    <t xml:space="preserve">IA-2</t>
  </si>
  <si>
    <t xml:space="preserve">Vulnerability Scan</t>
  </si>
  <si>
    <t xml:space="preserve">Scan results show 6 of 14 privileged accounts can authenticate with password only; MFA is configured but not mandatory at the policy level.</t>
  </si>
  <si>
    <t xml:space="preserve">High</t>
  </si>
  <si>
    <t xml:space="preserve">2026-04-02</t>
  </si>
  <si>
    <t xml:space="preserve">2026-07-15</t>
  </si>
  <si>
    <t xml:space="preserve">Update IdP policy to require MFA for all privileged roles</t>
  </si>
  <si>
    <t xml:space="preserve">2026-05-15</t>
  </si>
  <si>
    <t xml:space="preserve">Re-scan and confirm 100% privileged-account MFA enforcement</t>
  </si>
  <si>
    <t xml:space="preserve">2026-07-10</t>
  </si>
  <si>
    <t xml:space="preserve">J. Alvarez, ISSO</t>
  </si>
  <si>
    <t xml:space="preserve">IdP admin access; 4 hours of change-window time</t>
  </si>
  <si>
    <t xml:space="preserve">Ongoing</t>
  </si>
  <si>
    <t xml:space="preserve">2026-06-01</t>
  </si>
  <si>
    <t xml:space="preserve">Vendor confirmed policy change is low-risk; scheduled for next maintenance window.</t>
  </si>
  <si>
    <t xml:space="preserve">POAM-2026-002</t>
  </si>
  <si>
    <t xml:space="preserve">Audit logs retained for 90 days instead of the required 12 months</t>
  </si>
  <si>
    <t xml:space="preserve">AU-2</t>
  </si>
  <si>
    <t xml:space="preserve">Self-Identified</t>
  </si>
  <si>
    <t xml:space="preserve">SIEM storage tier was sized for 90-day retention; AU-1 policy commits to a 12-month retention period.</t>
  </si>
  <si>
    <t xml:space="preserve">Moderate</t>
  </si>
  <si>
    <t xml:space="preserve">2026-03-18</t>
  </si>
  <si>
    <t xml:space="preserve">2026-09-30</t>
  </si>
  <si>
    <t xml:space="preserve">Procure additional log-storage capacity</t>
  </si>
  <si>
    <t xml:space="preserve">2026-06-30</t>
  </si>
  <si>
    <t xml:space="preserve">Migrate historical logs and validate 12-month retention in SIEM</t>
  </si>
  <si>
    <t xml:space="preserve">2026-09-15</t>
  </si>
  <si>
    <t xml:space="preserve">T. Nguyen, System Admin</t>
  </si>
  <si>
    <t xml:space="preserve">Storage budget approval; SIEM admin time</t>
  </si>
  <si>
    <t xml:space="preserve">Open</t>
  </si>
  <si>
    <t xml:space="preserve">Budget request submitted 2026-05-20; awaiting approval from finance.</t>
  </si>
  <si>
    <t xml:space="preserve">POAM-2026-003</t>
  </si>
  <si>
    <t xml:space="preserve">Quarterly access reviews not consistently documented</t>
  </si>
  <si>
    <t xml:space="preserve">AC-2</t>
  </si>
  <si>
    <t xml:space="preserve">Internal Assessment</t>
  </si>
  <si>
    <t xml:space="preserve">Two of the last four quarterly account reviews have no signed documentation on file, though informal reviews appear to have occurred.</t>
  </si>
  <si>
    <t xml:space="preserve">Low</t>
  </si>
  <si>
    <t xml:space="preserve">2026-02-10</t>
  </si>
  <si>
    <t xml:space="preserve">2026-05-01</t>
  </si>
  <si>
    <t xml:space="preserve">Stand up a documented review template and tracking log</t>
  </si>
  <si>
    <t xml:space="preserve">2026-03-01</t>
  </si>
  <si>
    <t xml:space="preserve">Complete and file Q2 2026 review using new template</t>
  </si>
  <si>
    <t xml:space="preserve">2026-04-30</t>
  </si>
  <si>
    <t xml:space="preserve">M. Okafor, ISSO</t>
  </si>
  <si>
    <t xml:space="preserve">None — process change only</t>
  </si>
  <si>
    <t xml:space="preserve">Completed</t>
  </si>
  <si>
    <t xml:space="preserve">2026-04-28</t>
  </si>
  <si>
    <t xml:space="preserve">Closed; new review template now in use and filed in the data layer each quarter.</t>
  </si>
  <si>
    <t xml:space="preserve">POAM-2026-004</t>
  </si>
  <si>
    <t xml:space="preserve">Backup restoration has not been tested in the last 12 months</t>
  </si>
  <si>
    <t xml:space="preserve">CP-9</t>
  </si>
  <si>
    <t xml:space="preserve">Security Assessment</t>
  </si>
  <si>
    <t xml:space="preserve">Backup jobs run nightly and complete successfully, but no test restore has been performed or documented since the last assessment cycle.</t>
  </si>
  <si>
    <t xml:space="preserve">2026-05-05</t>
  </si>
  <si>
    <t xml:space="preserve">2026-08-01</t>
  </si>
  <si>
    <t xml:space="preserve">Schedule and execute a full test restore in the staging environment</t>
  </si>
  <si>
    <t xml:space="preserve">2026-07-01</t>
  </si>
  <si>
    <t xml:space="preserve">Document results and update the Contingency Plan with findings</t>
  </si>
  <si>
    <t xml:space="preserve">2026-07-25</t>
  </si>
  <si>
    <t xml:space="preserve">Staging environment access; 1 day of downtime in staging</t>
  </si>
  <si>
    <t xml:space="preserve">POAM-2026-005</t>
  </si>
  <si>
    <t xml:space="preserve">Legacy TLS 1.0 fallback still enabled on the public-facing interface</t>
  </si>
  <si>
    <t xml:space="preserve">SC-7</t>
  </si>
  <si>
    <t xml:space="preserve">External scan flagged that the load balancer still accepts TLS 1.0/1.1 connections as a fallback for a small number of legacy client integrations.</t>
  </si>
  <si>
    <t xml:space="preserve">Critical</t>
  </si>
  <si>
    <t xml:space="preserve">2026-05-22</t>
  </si>
  <si>
    <t xml:space="preserve">2026-06-20</t>
  </si>
  <si>
    <t xml:space="preserve">Identify and notify the remaining legacy clients of the cutover date</t>
  </si>
  <si>
    <t xml:space="preserve">2026-06-05</t>
  </si>
  <si>
    <t xml:space="preserve">Disable TLS 1.0/1.1 and confirm via external re-scan</t>
  </si>
  <si>
    <t xml:space="preserve">2026-06-18</t>
  </si>
  <si>
    <t xml:space="preserve">Coordination with 2 external partner contacts; change-control approval</t>
  </si>
  <si>
    <t xml:space="preserve">Risk-accepted on an interim basis by the AO through 2026-06-20 only; documented in risk register.</t>
  </si>
  <si>
    <t xml:space="preserve">POA&amp;M Summary Dashboard</t>
  </si>
  <si>
    <t xml:space="preserve">All figures below recalculate automatically from the POA&amp;M Tracker sheet.</t>
  </si>
  <si>
    <t xml:space="preserve">By Status</t>
  </si>
  <si>
    <t xml:space="preserve">By Risk Rating</t>
  </si>
  <si>
    <t xml:space="preserve">Count</t>
  </si>
  <si>
    <t xml:space="preserve">Delayed</t>
  </si>
  <si>
    <t xml:space="preserve">Risk Accepted</t>
  </si>
  <si>
    <t xml:space="preserve">Total tracked items</t>
  </si>
  <si>
    <t xml:space="preserve">Overdue Items</t>
  </si>
  <si>
    <t xml:space="preserve">Yes — past scheduled completion date</t>
  </si>
  <si>
    <t xml:space="preserve">No — on track or closed</t>
  </si>
  <si>
    <t xml:space="preserve">POA&amp;M Tracker — Field Guide</t>
  </si>
  <si>
    <t xml:space="preserve">What each column means and how to fill it in.</t>
  </si>
  <si>
    <t xml:space="preserve">Column</t>
  </si>
  <si>
    <t xml:space="preserve">How to fill it in</t>
  </si>
  <si>
    <t xml:space="preserve">A unique tracking number for the weakness, e.g. POAM-YYYY-### . Keep numbering sequential within the year so items are easy to reference in conversation and in eMASS.</t>
  </si>
  <si>
    <t xml:space="preserve">A short, specific name for the weakness — specific enough that someone scanning the list knows what it is without opening the row.</t>
  </si>
  <si>
    <t xml:space="preserve">The NIST SP 800-53 control ID this weakness maps to, e.g. AC-2 or SC-7. Use the Control Implementation Statement Library to cross-reference what "right" looks like for that control.</t>
  </si>
  <si>
    <t xml:space="preserve">How the weakness was found: Vulnerability Scan, Security Assessment, Internal Assessment, Audit, Self-Identified, or Incident.</t>
  </si>
  <si>
    <t xml:space="preserve">Plain-language description of the actual gap — specific enough that a new ISSO inheriting this system understands the issue without asking.</t>
  </si>
  <si>
    <t xml:space="preserve">Low, Moderate, High, or Critical. Pick this from the dropdown — it drives the color coding and the dashboard counts.</t>
  </si>
  <si>
    <t xml:space="preserve">The date the weakness was first identified (yyyy-mm-dd). This is the anchor date for the Days Open calculation.</t>
  </si>
  <si>
    <t xml:space="preserve">The date remediation is planned to be complete. This is the anchor date for the Overdue flag — keep it realistic, not aspirational.</t>
  </si>
  <si>
    <t xml:space="preserve">Milestone 1 / Milestone 2 — Description &amp; Target Date</t>
  </si>
  <si>
    <t xml:space="preserve">Break remediation into concrete, checkable steps with their own target dates. Add more milestone column pairs if a weakness needs more than two.</t>
  </si>
  <si>
    <t xml:space="preserve">The specific person accountable for closing this item — name and role, not just a team name.</t>
  </si>
  <si>
    <t xml:space="preserve">What it will actually take to close this — budget, tools, access, staff time, vendor coordination.</t>
  </si>
  <si>
    <t xml:space="preserve">Open, Ongoing, Completed, Delayed, or Risk Accepted. Pick this from the dropdown — it drives the color coding and the dashboard counts.</t>
  </si>
  <si>
    <t xml:space="preserve">The date the Status value was last reviewed or changed. Update this every time you touch the row, even if the status itself didn't change.</t>
  </si>
  <si>
    <t xml:space="preserve">Filled in only when Status = Completed. Leave blank until the item actually closes — this date drives the final Days Open calculation.</t>
  </si>
  <si>
    <t xml:space="preserve">Days Open (auto-calculated)</t>
  </si>
  <si>
    <t xml:space="preserve">Calculated automatically: Actual Completion minus Identified Date if closed, or Today minus Identified Date if still open. Don't type into this column.</t>
  </si>
  <si>
    <t xml:space="preserve">Overdue? (auto-calculated)</t>
  </si>
  <si>
    <t xml:space="preserve">Calculated automatically: shows "Yes" when an item is not yet Completed and today's date is past the Scheduled Completion Date. Don't type into this column.</t>
  </si>
  <si>
    <t xml:space="preserve">Anything a future reader needs to know — interim risk acceptances, blockers, vendor responses, links to evidence in the data layer.</t>
  </si>
  <si>
    <t xml:space="preserve">Working tips</t>
  </si>
  <si>
    <t xml:space="preserve">• Update Status Date every time you touch a row — a stale status is one of the first things assessors flag.</t>
  </si>
  <si>
    <t xml:space="preserve">• Never delete a closed item. Move it down or filter it out — your closure history is evidence of a working program.</t>
  </si>
  <si>
    <t xml:space="preserve">• Keep the Risk Rating honest. Inflated or deflated ratings undermine trust in the whole POA&amp;M when an assessor spot-checks them.</t>
  </si>
  <si>
    <t xml:space="preserve">• Cross-reference the Related Control ID against the Control Implementation Statement Library to write a tighter, more specific Weakness Description.</t>
  </si>
  <si>
    <t xml:space="preserve">• Re-run the Summary Dashboard before any review meeting — it recalculates instantly and gives you talking points without manual counting.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</si>
</sst>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2E5496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2E5496"/>
      </font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4" min="14" style="0" width="26"/>
    <col collapsed="false" customWidth="true" hidden="false" outlineLevel="0" max="16" min="15" style="0" width="14"/>
    <col collapsed="false" customWidth="true" hidden="false" outlineLevel="0" max="17" min="17" style="0" width="16"/>
    <col collapsed="false" customWidth="true" hidden="false" outlineLevel="0" max="19" min="18" style="0" width="11"/>
    <col collapsed="false" customWidth="true" hidden="false" outlineLevel="0" max="20" min="20" style="0" width="3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60" hidden="false" customHeight="tru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5" t="s">
        <v>28</v>
      </c>
      <c r="H5" s="5" t="s">
        <v>29</v>
      </c>
      <c r="I5" s="4" t="s">
        <v>30</v>
      </c>
      <c r="J5" s="5" t="s">
        <v>31</v>
      </c>
      <c r="K5" s="4" t="s">
        <v>32</v>
      </c>
      <c r="L5" s="5" t="s">
        <v>33</v>
      </c>
      <c r="M5" s="4" t="s">
        <v>34</v>
      </c>
      <c r="N5" s="4" t="s">
        <v>35</v>
      </c>
      <c r="O5" s="4" t="s">
        <v>36</v>
      </c>
      <c r="P5" s="5" t="s">
        <v>37</v>
      </c>
      <c r="Q5" s="5"/>
      <c r="R5" s="6" t="n">
        <f aca="true">IF(O5="Completed",Q5-G5,TODAY()-G5)</f>
        <v>67</v>
      </c>
      <c r="S5" s="6" t="str">
        <f aca="true">IF(AND(O5&lt;&gt;"Completed",TODAY()&gt;H5),"Yes","No")</f>
        <v>No</v>
      </c>
      <c r="T5" s="4" t="s">
        <v>38</v>
      </c>
    </row>
    <row r="6" customFormat="false" ht="60" hidden="false" customHeight="true" outlineLevel="0" collapsed="false">
      <c r="A6" s="4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5" t="s">
        <v>45</v>
      </c>
      <c r="H6" s="5" t="s">
        <v>46</v>
      </c>
      <c r="I6" s="4" t="s">
        <v>47</v>
      </c>
      <c r="J6" s="5" t="s">
        <v>48</v>
      </c>
      <c r="K6" s="4" t="s">
        <v>49</v>
      </c>
      <c r="L6" s="5" t="s">
        <v>50</v>
      </c>
      <c r="M6" s="4" t="s">
        <v>51</v>
      </c>
      <c r="N6" s="4" t="s">
        <v>52</v>
      </c>
      <c r="O6" s="4" t="s">
        <v>53</v>
      </c>
      <c r="P6" s="5" t="s">
        <v>37</v>
      </c>
      <c r="Q6" s="5"/>
      <c r="R6" s="6" t="n">
        <f aca="true">IF(O6="Completed",Q6-G6,TODAY()-G6)</f>
        <v>82</v>
      </c>
      <c r="S6" s="6" t="str">
        <f aca="true">IF(AND(O6&lt;&gt;"Completed",TODAY()&gt;H6),"Yes","No")</f>
        <v>No</v>
      </c>
      <c r="T6" s="4" t="s">
        <v>54</v>
      </c>
    </row>
    <row r="7" customFormat="false" ht="60" hidden="false" customHeight="true" outlineLevel="0" collapsed="false">
      <c r="A7" s="4" t="s">
        <v>55</v>
      </c>
      <c r="B7" s="4" t="s">
        <v>56</v>
      </c>
      <c r="C7" s="4" t="s">
        <v>57</v>
      </c>
      <c r="D7" s="4" t="s">
        <v>58</v>
      </c>
      <c r="E7" s="4" t="s">
        <v>59</v>
      </c>
      <c r="F7" s="4" t="s">
        <v>60</v>
      </c>
      <c r="G7" s="5" t="s">
        <v>61</v>
      </c>
      <c r="H7" s="5" t="s">
        <v>62</v>
      </c>
      <c r="I7" s="4" t="s">
        <v>63</v>
      </c>
      <c r="J7" s="5" t="s">
        <v>64</v>
      </c>
      <c r="K7" s="4" t="s">
        <v>65</v>
      </c>
      <c r="L7" s="5" t="s">
        <v>66</v>
      </c>
      <c r="M7" s="4" t="s">
        <v>67</v>
      </c>
      <c r="N7" s="4" t="s">
        <v>68</v>
      </c>
      <c r="O7" s="4" t="s">
        <v>69</v>
      </c>
      <c r="P7" s="5" t="s">
        <v>70</v>
      </c>
      <c r="Q7" s="5" t="s">
        <v>70</v>
      </c>
      <c r="R7" s="6" t="n">
        <f aca="true">IF(O7="Completed",Q7-G7,TODAY()-G7)</f>
        <v>77</v>
      </c>
      <c r="S7" s="6" t="str">
        <f aca="true">IF(AND(O7&lt;&gt;"Completed",TODAY()&gt;H7),"Yes","No")</f>
        <v>No</v>
      </c>
      <c r="T7" s="4" t="s">
        <v>71</v>
      </c>
    </row>
    <row r="8" customFormat="false" ht="60" hidden="false" customHeight="true" outlineLevel="0" collapsed="false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4" t="s">
        <v>44</v>
      </c>
      <c r="G8" s="5" t="s">
        <v>77</v>
      </c>
      <c r="H8" s="5" t="s">
        <v>78</v>
      </c>
      <c r="I8" s="4" t="s">
        <v>79</v>
      </c>
      <c r="J8" s="5" t="s">
        <v>80</v>
      </c>
      <c r="K8" s="4" t="s">
        <v>81</v>
      </c>
      <c r="L8" s="5" t="s">
        <v>82</v>
      </c>
      <c r="M8" s="4" t="s">
        <v>51</v>
      </c>
      <c r="N8" s="4" t="s">
        <v>83</v>
      </c>
      <c r="O8" s="4" t="s">
        <v>53</v>
      </c>
      <c r="P8" s="5" t="s">
        <v>37</v>
      </c>
      <c r="Q8" s="5"/>
      <c r="R8" s="6" t="n">
        <f aca="true">IF(O8="Completed",Q8-G8,TODAY()-G8)</f>
        <v>34</v>
      </c>
      <c r="S8" s="6" t="str">
        <f aca="true">IF(AND(O8&lt;&gt;"Completed",TODAY()&gt;H8),"Yes","No")</f>
        <v>No</v>
      </c>
      <c r="T8" s="4"/>
    </row>
    <row r="9" customFormat="false" ht="60" hidden="false" customHeight="true" outlineLevel="0" collapsed="false">
      <c r="A9" s="4" t="s">
        <v>84</v>
      </c>
      <c r="B9" s="4" t="s">
        <v>85</v>
      </c>
      <c r="C9" s="4" t="s">
        <v>86</v>
      </c>
      <c r="D9" s="4" t="s">
        <v>25</v>
      </c>
      <c r="E9" s="4" t="s">
        <v>87</v>
      </c>
      <c r="F9" s="4" t="s">
        <v>88</v>
      </c>
      <c r="G9" s="5" t="s">
        <v>89</v>
      </c>
      <c r="H9" s="5" t="s">
        <v>90</v>
      </c>
      <c r="I9" s="4" t="s">
        <v>91</v>
      </c>
      <c r="J9" s="5" t="s">
        <v>92</v>
      </c>
      <c r="K9" s="4" t="s">
        <v>93</v>
      </c>
      <c r="L9" s="5" t="s">
        <v>94</v>
      </c>
      <c r="M9" s="4" t="s">
        <v>34</v>
      </c>
      <c r="N9" s="4" t="s">
        <v>95</v>
      </c>
      <c r="O9" s="4" t="s">
        <v>36</v>
      </c>
      <c r="P9" s="5" t="s">
        <v>37</v>
      </c>
      <c r="Q9" s="5"/>
      <c r="R9" s="6" t="n">
        <f aca="true">IF(O9="Completed",Q9-G9,TODAY()-G9)</f>
        <v>17</v>
      </c>
      <c r="S9" s="6" t="str">
        <f aca="true">IF(AND(O9&lt;&gt;"Completed",TODAY()&gt;H9),"Yes","No")</f>
        <v>No</v>
      </c>
      <c r="T9" s="4" t="s">
        <v>96</v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5"/>
      <c r="H10" s="5"/>
      <c r="I10" s="4"/>
      <c r="J10" s="5"/>
      <c r="K10" s="4"/>
      <c r="L10" s="5"/>
      <c r="M10" s="4"/>
      <c r="N10" s="4"/>
      <c r="O10" s="4"/>
      <c r="P10" s="5"/>
      <c r="Q10" s="5"/>
      <c r="R10" s="6" t="str">
        <f aca="true">IF(O10="Completed",Q10-G10,IF(G10="","",TODAY()-G10))</f>
        <v/>
      </c>
      <c r="S10" s="6" t="str">
        <f aca="true">IF(AND(O10&lt;&gt;"Completed",O10&lt;&gt;"",H10&lt;&gt;"",TODAY()&gt;H10),"Yes","No")</f>
        <v>No</v>
      </c>
      <c r="T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5"/>
      <c r="H11" s="5"/>
      <c r="I11" s="4"/>
      <c r="J11" s="5"/>
      <c r="K11" s="4"/>
      <c r="L11" s="5"/>
      <c r="M11" s="4"/>
      <c r="N11" s="4"/>
      <c r="O11" s="4"/>
      <c r="P11" s="5"/>
      <c r="Q11" s="5"/>
      <c r="R11" s="6" t="str">
        <f aca="true">IF(O11="Completed",Q11-G11,IF(G11="","",TODAY()-G11))</f>
        <v/>
      </c>
      <c r="S11" s="6" t="str">
        <f aca="true">IF(AND(O11&lt;&gt;"Completed",O11&lt;&gt;"",H11&lt;&gt;"",TODAY()&gt;H11),"Yes","No")</f>
        <v>No</v>
      </c>
      <c r="T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5"/>
      <c r="H12" s="5"/>
      <c r="I12" s="4"/>
      <c r="J12" s="5"/>
      <c r="K12" s="4"/>
      <c r="L12" s="5"/>
      <c r="M12" s="4"/>
      <c r="N12" s="4"/>
      <c r="O12" s="4"/>
      <c r="P12" s="5"/>
      <c r="Q12" s="5"/>
      <c r="R12" s="6" t="str">
        <f aca="true">IF(O12="Completed",Q12-G12,IF(G12="","",TODAY()-G12))</f>
        <v/>
      </c>
      <c r="S12" s="6" t="str">
        <f aca="true">IF(AND(O12&lt;&gt;"Completed",O12&lt;&gt;"",H12&lt;&gt;"",TODAY()&gt;H12),"Yes","No")</f>
        <v>No</v>
      </c>
      <c r="T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5"/>
      <c r="H13" s="5"/>
      <c r="I13" s="4"/>
      <c r="J13" s="5"/>
      <c r="K13" s="4"/>
      <c r="L13" s="5"/>
      <c r="M13" s="4"/>
      <c r="N13" s="4"/>
      <c r="O13" s="4"/>
      <c r="P13" s="5"/>
      <c r="Q13" s="5"/>
      <c r="R13" s="6" t="str">
        <f aca="true">IF(O13="Completed",Q13-G13,IF(G13="","",TODAY()-G13))</f>
        <v/>
      </c>
      <c r="S13" s="6" t="str">
        <f aca="true">IF(AND(O13&lt;&gt;"Completed",O13&lt;&gt;"",H13&lt;&gt;"",TODAY()&gt;H13),"Yes","No")</f>
        <v>No</v>
      </c>
      <c r="T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5"/>
      <c r="H14" s="5"/>
      <c r="I14" s="4"/>
      <c r="J14" s="5"/>
      <c r="K14" s="4"/>
      <c r="L14" s="5"/>
      <c r="M14" s="4"/>
      <c r="N14" s="4"/>
      <c r="O14" s="4"/>
      <c r="P14" s="5"/>
      <c r="Q14" s="5"/>
      <c r="R14" s="6" t="str">
        <f aca="true">IF(O14="Completed",Q14-G14,IF(G14="","",TODAY()-G14))</f>
        <v/>
      </c>
      <c r="S14" s="6" t="str">
        <f aca="true">IF(AND(O14&lt;&gt;"Completed",O14&lt;&gt;"",H14&lt;&gt;"",TODAY()&gt;H14),"Yes","No")</f>
        <v>No</v>
      </c>
      <c r="T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5"/>
      <c r="H15" s="5"/>
      <c r="I15" s="4"/>
      <c r="J15" s="5"/>
      <c r="K15" s="4"/>
      <c r="L15" s="5"/>
      <c r="M15" s="4"/>
      <c r="N15" s="4"/>
      <c r="O15" s="4"/>
      <c r="P15" s="5"/>
      <c r="Q15" s="5"/>
      <c r="R15" s="6" t="str">
        <f aca="true">IF(O15="Completed",Q15-G15,IF(G15="","",TODAY()-G15))</f>
        <v/>
      </c>
      <c r="S15" s="6" t="str">
        <f aca="true">IF(AND(O15&lt;&gt;"Completed",O15&lt;&gt;"",H15&lt;&gt;"",TODAY()&gt;H15),"Yes","No")</f>
        <v>No</v>
      </c>
      <c r="T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5"/>
      <c r="H16" s="5"/>
      <c r="I16" s="4"/>
      <c r="J16" s="5"/>
      <c r="K16" s="4"/>
      <c r="L16" s="5"/>
      <c r="M16" s="4"/>
      <c r="N16" s="4"/>
      <c r="O16" s="4"/>
      <c r="P16" s="5"/>
      <c r="Q16" s="5"/>
      <c r="R16" s="6" t="str">
        <f aca="true">IF(O16="Completed",Q16-G16,IF(G16="","",TODAY()-G16))</f>
        <v/>
      </c>
      <c r="S16" s="6" t="str">
        <f aca="true">IF(AND(O16&lt;&gt;"Completed",O16&lt;&gt;"",H16&lt;&gt;"",TODAY()&gt;H16),"Yes","No")</f>
        <v>No</v>
      </c>
      <c r="T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5"/>
      <c r="H17" s="5"/>
      <c r="I17" s="4"/>
      <c r="J17" s="5"/>
      <c r="K17" s="4"/>
      <c r="L17" s="5"/>
      <c r="M17" s="4"/>
      <c r="N17" s="4"/>
      <c r="O17" s="4"/>
      <c r="P17" s="5"/>
      <c r="Q17" s="5"/>
      <c r="R17" s="6" t="str">
        <f aca="true">IF(O17="Completed",Q17-G17,IF(G17="","",TODAY()-G17))</f>
        <v/>
      </c>
      <c r="S17" s="6" t="str">
        <f aca="true">IF(AND(O17&lt;&gt;"Completed",O17&lt;&gt;"",H17&lt;&gt;"",TODAY()&gt;H17),"Yes","No")</f>
        <v>No</v>
      </c>
      <c r="T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5"/>
      <c r="H18" s="5"/>
      <c r="I18" s="4"/>
      <c r="J18" s="5"/>
      <c r="K18" s="4"/>
      <c r="L18" s="5"/>
      <c r="M18" s="4"/>
      <c r="N18" s="4"/>
      <c r="O18" s="4"/>
      <c r="P18" s="5"/>
      <c r="Q18" s="5"/>
      <c r="R18" s="6" t="str">
        <f aca="true">IF(O18="Completed",Q18-G18,IF(G18="","",TODAY()-G18))</f>
        <v/>
      </c>
      <c r="S18" s="6" t="str">
        <f aca="true">IF(AND(O18&lt;&gt;"Completed",O18&lt;&gt;"",H18&lt;&gt;"",TODAY()&gt;H18),"Yes","No")</f>
        <v>No</v>
      </c>
      <c r="T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5"/>
      <c r="H19" s="5"/>
      <c r="I19" s="4"/>
      <c r="J19" s="5"/>
      <c r="K19" s="4"/>
      <c r="L19" s="5"/>
      <c r="M19" s="4"/>
      <c r="N19" s="4"/>
      <c r="O19" s="4"/>
      <c r="P19" s="5"/>
      <c r="Q19" s="5"/>
      <c r="R19" s="6" t="str">
        <f aca="true">IF(O19="Completed",Q19-G19,IF(G19="","",TODAY()-G19))</f>
        <v/>
      </c>
      <c r="S19" s="6" t="str">
        <f aca="true">IF(AND(O19&lt;&gt;"Completed",O19&lt;&gt;"",H19&lt;&gt;"",TODAY()&gt;H19),"Yes","No")</f>
        <v>No</v>
      </c>
      <c r="T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5"/>
      <c r="H20" s="5"/>
      <c r="I20" s="4"/>
      <c r="J20" s="5"/>
      <c r="K20" s="4"/>
      <c r="L20" s="5"/>
      <c r="M20" s="4"/>
      <c r="N20" s="4"/>
      <c r="O20" s="4"/>
      <c r="P20" s="5"/>
      <c r="Q20" s="5"/>
      <c r="R20" s="6" t="str">
        <f aca="true">IF(O20="Completed",Q20-G20,IF(G20="","",TODAY()-G20))</f>
        <v/>
      </c>
      <c r="S20" s="6" t="str">
        <f aca="true">IF(AND(O20&lt;&gt;"Completed",O20&lt;&gt;"",H20&lt;&gt;"",TODAY()&gt;H20),"Yes","No")</f>
        <v>No</v>
      </c>
      <c r="T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5"/>
      <c r="H21" s="5"/>
      <c r="I21" s="4"/>
      <c r="J21" s="5"/>
      <c r="K21" s="4"/>
      <c r="L21" s="5"/>
      <c r="M21" s="4"/>
      <c r="N21" s="4"/>
      <c r="O21" s="4"/>
      <c r="P21" s="5"/>
      <c r="Q21" s="5"/>
      <c r="R21" s="6" t="str">
        <f aca="true">IF(O21="Completed",Q21-G21,IF(G21="","",TODAY()-G21))</f>
        <v/>
      </c>
      <c r="S21" s="6" t="str">
        <f aca="true">IF(AND(O21&lt;&gt;"Completed",O21&lt;&gt;"",H21&lt;&gt;"",TODAY()&gt;H21),"Yes","No")</f>
        <v>No</v>
      </c>
      <c r="T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5"/>
      <c r="H22" s="5"/>
      <c r="I22" s="4"/>
      <c r="J22" s="5"/>
      <c r="K22" s="4"/>
      <c r="L22" s="5"/>
      <c r="M22" s="4"/>
      <c r="N22" s="4"/>
      <c r="O22" s="4"/>
      <c r="P22" s="5"/>
      <c r="Q22" s="5"/>
      <c r="R22" s="6" t="str">
        <f aca="true">IF(O22="Completed",Q22-G22,IF(G22="","",TODAY()-G22))</f>
        <v/>
      </c>
      <c r="S22" s="6" t="str">
        <f aca="true">IF(AND(O22&lt;&gt;"Completed",O22&lt;&gt;"",H22&lt;&gt;"",TODAY()&gt;H22),"Yes","No")</f>
        <v>No</v>
      </c>
      <c r="T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5"/>
      <c r="H23" s="5"/>
      <c r="I23" s="4"/>
      <c r="J23" s="5"/>
      <c r="K23" s="4"/>
      <c r="L23" s="5"/>
      <c r="M23" s="4"/>
      <c r="N23" s="4"/>
      <c r="O23" s="4"/>
      <c r="P23" s="5"/>
      <c r="Q23" s="5"/>
      <c r="R23" s="6" t="str">
        <f aca="true">IF(O23="Completed",Q23-G23,IF(G23="","",TODAY()-G23))</f>
        <v/>
      </c>
      <c r="S23" s="6" t="str">
        <f aca="true">IF(AND(O23&lt;&gt;"Completed",O23&lt;&gt;"",H23&lt;&gt;"",TODAY()&gt;H23),"Yes","No")</f>
        <v>No</v>
      </c>
      <c r="T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5"/>
      <c r="H24" s="5"/>
      <c r="I24" s="4"/>
      <c r="J24" s="5"/>
      <c r="K24" s="4"/>
      <c r="L24" s="5"/>
      <c r="M24" s="4"/>
      <c r="N24" s="4"/>
      <c r="O24" s="4"/>
      <c r="P24" s="5"/>
      <c r="Q24" s="5"/>
      <c r="R24" s="6" t="str">
        <f aca="true">IF(O24="Completed",Q24-G24,IF(G24="","",TODAY()-G24))</f>
        <v/>
      </c>
      <c r="S24" s="6" t="str">
        <f aca="true">IF(AND(O24&lt;&gt;"Completed",O24&lt;&gt;"",H24&lt;&gt;"",TODAY()&gt;H24),"Yes","No")</f>
        <v>No</v>
      </c>
      <c r="T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5"/>
      <c r="H25" s="5"/>
      <c r="I25" s="4"/>
      <c r="J25" s="5"/>
      <c r="K25" s="4"/>
      <c r="L25" s="5"/>
      <c r="M25" s="4"/>
      <c r="N25" s="4"/>
      <c r="O25" s="4"/>
      <c r="P25" s="5"/>
      <c r="Q25" s="5"/>
      <c r="R25" s="6" t="str">
        <f aca="true">IF(O25="Completed",Q25-G25,IF(G25="","",TODAY()-G25))</f>
        <v/>
      </c>
      <c r="S25" s="6" t="str">
        <f aca="true">IF(AND(O25&lt;&gt;"Completed",O25&lt;&gt;"",H25&lt;&gt;"",TODAY()&gt;H25),"Yes","No")</f>
        <v>No</v>
      </c>
      <c r="T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5"/>
      <c r="H26" s="5"/>
      <c r="I26" s="4"/>
      <c r="J26" s="5"/>
      <c r="K26" s="4"/>
      <c r="L26" s="5"/>
      <c r="M26" s="4"/>
      <c r="N26" s="4"/>
      <c r="O26" s="4"/>
      <c r="P26" s="5"/>
      <c r="Q26" s="5"/>
      <c r="R26" s="6" t="str">
        <f aca="true">IF(O26="Completed",Q26-G26,IF(G26="","",TODAY()-G26))</f>
        <v/>
      </c>
      <c r="S26" s="6" t="str">
        <f aca="true">IF(AND(O26&lt;&gt;"Completed",O26&lt;&gt;"",H26&lt;&gt;"",TODAY()&gt;H26),"Yes","No")</f>
        <v>No</v>
      </c>
      <c r="T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5"/>
      <c r="H27" s="5"/>
      <c r="I27" s="4"/>
      <c r="J27" s="5"/>
      <c r="K27" s="4"/>
      <c r="L27" s="5"/>
      <c r="M27" s="4"/>
      <c r="N27" s="4"/>
      <c r="O27" s="4"/>
      <c r="P27" s="5"/>
      <c r="Q27" s="5"/>
      <c r="R27" s="6" t="str">
        <f aca="true">IF(O27="Completed",Q27-G27,IF(G27="","",TODAY()-G27))</f>
        <v/>
      </c>
      <c r="S27" s="6" t="str">
        <f aca="true">IF(AND(O27&lt;&gt;"Completed",O27&lt;&gt;"",H27&lt;&gt;"",TODAY()&gt;H27),"Yes","No")</f>
        <v>No</v>
      </c>
      <c r="T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5"/>
      <c r="H28" s="5"/>
      <c r="I28" s="4"/>
      <c r="J28" s="5"/>
      <c r="K28" s="4"/>
      <c r="L28" s="5"/>
      <c r="M28" s="4"/>
      <c r="N28" s="4"/>
      <c r="O28" s="4"/>
      <c r="P28" s="5"/>
      <c r="Q28" s="5"/>
      <c r="R28" s="6" t="str">
        <f aca="true">IF(O28="Completed",Q28-G28,IF(G28="","",TODAY()-G28))</f>
        <v/>
      </c>
      <c r="S28" s="6" t="str">
        <f aca="true">IF(AND(O28&lt;&gt;"Completed",O28&lt;&gt;"",H28&lt;&gt;"",TODAY()&gt;H28),"Yes","No")</f>
        <v>No</v>
      </c>
      <c r="T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5"/>
      <c r="H29" s="5"/>
      <c r="I29" s="4"/>
      <c r="J29" s="5"/>
      <c r="K29" s="4"/>
      <c r="L29" s="5"/>
      <c r="M29" s="4"/>
      <c r="N29" s="4"/>
      <c r="O29" s="4"/>
      <c r="P29" s="5"/>
      <c r="Q29" s="5"/>
      <c r="R29" s="6" t="str">
        <f aca="true">IF(O29="Completed",Q29-G29,IF(G29="","",TODAY()-G29))</f>
        <v/>
      </c>
      <c r="S29" s="6" t="str">
        <f aca="true">IF(AND(O29&lt;&gt;"Completed",O29&lt;&gt;"",H29&lt;&gt;"",TODAY()&gt;H29),"Yes","No")</f>
        <v>No</v>
      </c>
      <c r="T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5"/>
      <c r="H30" s="5"/>
      <c r="I30" s="4"/>
      <c r="J30" s="5"/>
      <c r="K30" s="4"/>
      <c r="L30" s="5"/>
      <c r="M30" s="4"/>
      <c r="N30" s="4"/>
      <c r="O30" s="4"/>
      <c r="P30" s="5"/>
      <c r="Q30" s="5"/>
      <c r="R30" s="6" t="str">
        <f aca="true">IF(O30="Completed",Q30-G30,IF(G30="","",TODAY()-G30))</f>
        <v/>
      </c>
      <c r="S30" s="6" t="str">
        <f aca="true">IF(AND(O30&lt;&gt;"Completed",O30&lt;&gt;"",H30&lt;&gt;"",TODAY()&gt;H30),"Yes","No")</f>
        <v>No</v>
      </c>
      <c r="T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5"/>
      <c r="H31" s="5"/>
      <c r="I31" s="4"/>
      <c r="J31" s="5"/>
      <c r="K31" s="4"/>
      <c r="L31" s="5"/>
      <c r="M31" s="4"/>
      <c r="N31" s="4"/>
      <c r="O31" s="4"/>
      <c r="P31" s="5"/>
      <c r="Q31" s="5"/>
      <c r="R31" s="6" t="str">
        <f aca="true">IF(O31="Completed",Q31-G31,IF(G31="","",TODAY()-G31))</f>
        <v/>
      </c>
      <c r="S31" s="6" t="str">
        <f aca="true">IF(AND(O31&lt;&gt;"Completed",O31&lt;&gt;"",H31&lt;&gt;"",TODAY()&gt;H31),"Yes","No")</f>
        <v>No</v>
      </c>
      <c r="T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5"/>
      <c r="H32" s="5"/>
      <c r="I32" s="4"/>
      <c r="J32" s="5"/>
      <c r="K32" s="4"/>
      <c r="L32" s="5"/>
      <c r="M32" s="4"/>
      <c r="N32" s="4"/>
      <c r="O32" s="4"/>
      <c r="P32" s="5"/>
      <c r="Q32" s="5"/>
      <c r="R32" s="6" t="str">
        <f aca="true">IF(O32="Completed",Q32-G32,IF(G32="","",TODAY()-G32))</f>
        <v/>
      </c>
      <c r="S32" s="6" t="str">
        <f aca="true">IF(AND(O32&lt;&gt;"Completed",O32&lt;&gt;"",H32&lt;&gt;"",TODAY()&gt;H32),"Yes","No")</f>
        <v>No</v>
      </c>
      <c r="T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5"/>
      <c r="H33" s="5"/>
      <c r="I33" s="4"/>
      <c r="J33" s="5"/>
      <c r="K33" s="4"/>
      <c r="L33" s="5"/>
      <c r="M33" s="4"/>
      <c r="N33" s="4"/>
      <c r="O33" s="4"/>
      <c r="P33" s="5"/>
      <c r="Q33" s="5"/>
      <c r="R33" s="6" t="str">
        <f aca="true">IF(O33="Completed",Q33-G33,IF(G33="","",TODAY()-G33))</f>
        <v/>
      </c>
      <c r="S33" s="6" t="str">
        <f aca="true">IF(AND(O33&lt;&gt;"Completed",O33&lt;&gt;"",H33&lt;&gt;"",TODAY()&gt;H33),"Yes","No")</f>
        <v>No</v>
      </c>
      <c r="T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5"/>
      <c r="H34" s="5"/>
      <c r="I34" s="4"/>
      <c r="J34" s="5"/>
      <c r="K34" s="4"/>
      <c r="L34" s="5"/>
      <c r="M34" s="4"/>
      <c r="N34" s="4"/>
      <c r="O34" s="4"/>
      <c r="P34" s="5"/>
      <c r="Q34" s="5"/>
      <c r="R34" s="6" t="str">
        <f aca="true">IF(O34="Completed",Q34-G34,IF(G34="","",TODAY()-G34))</f>
        <v/>
      </c>
      <c r="S34" s="6" t="str">
        <f aca="true">IF(AND(O34&lt;&gt;"Completed",O34&lt;&gt;"",H34&lt;&gt;"",TODAY()&gt;H34),"Yes","No")</f>
        <v>No</v>
      </c>
      <c r="T34" s="4"/>
    </row>
  </sheetData>
  <mergeCells count="2">
    <mergeCell ref="A1:H1"/>
    <mergeCell ref="A2:T2"/>
  </mergeCells>
  <conditionalFormatting sqref="F5:F34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"Moderate"</formula>
    </cfRule>
    <cfRule type="cellIs" priority="5" operator="equal" aboveAverage="0" equalAverage="0" bottom="0" percent="0" rank="0" text="" dxfId="3">
      <formula>"Low"</formula>
    </cfRule>
  </conditionalFormatting>
  <conditionalFormatting sqref="O5:O34">
    <cfRule type="cellIs" priority="6" operator="equal" aboveAverage="0" equalAverage="0" bottom="0" percent="0" rank="0" text="" dxfId="3">
      <formula>"Completed"</formula>
    </cfRule>
    <cfRule type="cellIs" priority="7" operator="equal" aboveAverage="0" equalAverage="0" bottom="0" percent="0" rank="0" text="" dxfId="1">
      <formula>"Open"</formula>
    </cfRule>
    <cfRule type="cellIs" priority="8" operator="equal" aboveAverage="0" equalAverage="0" bottom="0" percent="0" rank="0" text="" dxfId="2">
      <formula>"Ongoing"</formula>
    </cfRule>
    <cfRule type="cellIs" priority="9" operator="equal" aboveAverage="0" equalAverage="0" bottom="0" percent="0" rank="0" text="" dxfId="0">
      <formula>"Delayed"</formula>
    </cfRule>
    <cfRule type="cellIs" priority="10" operator="equal" aboveAverage="0" equalAverage="0" bottom="0" percent="0" rank="0" text="" dxfId="4">
      <formula>"Risk Accepted"</formula>
    </cfRule>
  </conditionalFormatting>
  <conditionalFormatting sqref="S5:S34">
    <cfRule type="cellIs" priority="11" operator="equal" aboveAverage="0" equalAverage="0" bottom="0" percent="0" rank="0" text="" dxfId="0">
      <formula>"Yes"</formula>
    </cfRule>
    <cfRule type="cellIs" priority="12" operator="equal" aboveAverage="0" equalAverage="0" bottom="0" percent="0" rank="0" text="" dxfId="3">
      <formula>"No"</formula>
    </cfRule>
  </conditionalFormatting>
  <dataValidations count="2">
    <dataValidation allowBlank="true" error="Choose Low, Moderate, High, or Critical" errorStyle="stop" errorTitle="Invalid Risk Rating" operator="between" showDropDown="false" showErrorMessage="false" showInputMessage="false" sqref="F5:F34" type="list">
      <formula1>"Low,Moderate,High,Critical"</formula1>
      <formula2>0</formula2>
    </dataValidation>
    <dataValidation allowBlank="true" error="Choose Open, Ongoing, Completed, Delayed, or Risk Accepted" errorStyle="stop" errorTitle="Invalid Status" operator="between" showDropDown="false" showErrorMessage="false" showInputMessage="false" sqref="O5:O34" type="list">
      <formula1>"Open,Ongoing,Completed,Delayed,Risk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22.05" hidden="false" customHeight="false" outlineLevel="0" collapsed="false">
      <c r="A1" s="1" t="s">
        <v>97</v>
      </c>
      <c r="B1" s="1"/>
      <c r="C1" s="1"/>
      <c r="D1" s="1"/>
    </row>
    <row r="2" customFormat="false" ht="15" hidden="false" customHeight="false" outlineLevel="0" collapsed="false">
      <c r="A2" s="7" t="s">
        <v>98</v>
      </c>
      <c r="B2" s="7"/>
      <c r="C2" s="7"/>
      <c r="D2" s="7"/>
    </row>
    <row r="4" customFormat="false" ht="16.15" hidden="false" customHeight="false" outlineLevel="0" collapsed="false">
      <c r="A4" s="8" t="s">
        <v>99</v>
      </c>
      <c r="D4" s="8" t="s">
        <v>100</v>
      </c>
    </row>
    <row r="5" customFormat="false" ht="15" hidden="false" customHeight="false" outlineLevel="0" collapsed="false">
      <c r="A5" s="9" t="s">
        <v>16</v>
      </c>
      <c r="B5" s="9" t="s">
        <v>101</v>
      </c>
      <c r="D5" s="9" t="s">
        <v>7</v>
      </c>
      <c r="E5" s="9" t="s">
        <v>101</v>
      </c>
    </row>
    <row r="6" customFormat="false" ht="15" hidden="false" customHeight="false" outlineLevel="0" collapsed="false">
      <c r="A6" s="10" t="s">
        <v>53</v>
      </c>
      <c r="B6" s="11" t="n">
        <f aca="false">COUNTIF('POA&amp;M Tracker'!$O$5:$O$34,"Open")</f>
        <v>2</v>
      </c>
      <c r="D6" s="10" t="s">
        <v>88</v>
      </c>
      <c r="E6" s="11" t="n">
        <f aca="false">COUNTIF('POA&amp;M Tracker'!$F$5:$F$34,"Critical")</f>
        <v>1</v>
      </c>
    </row>
    <row r="7" customFormat="false" ht="15" hidden="false" customHeight="false" outlineLevel="0" collapsed="false">
      <c r="A7" s="10" t="s">
        <v>36</v>
      </c>
      <c r="B7" s="11" t="n">
        <f aca="false">COUNTIF('POA&amp;M Tracker'!$O$5:$O$34,"Ongoing")</f>
        <v>2</v>
      </c>
      <c r="D7" s="10" t="s">
        <v>27</v>
      </c>
      <c r="E7" s="11" t="n">
        <f aca="false">COUNTIF('POA&amp;M Tracker'!$F$5:$F$34,"High")</f>
        <v>1</v>
      </c>
    </row>
    <row r="8" customFormat="false" ht="15" hidden="false" customHeight="false" outlineLevel="0" collapsed="false">
      <c r="A8" s="10" t="s">
        <v>69</v>
      </c>
      <c r="B8" s="11" t="n">
        <f aca="false">COUNTIF('POA&amp;M Tracker'!$O$5:$O$34,"Completed")</f>
        <v>1</v>
      </c>
      <c r="D8" s="10" t="s">
        <v>44</v>
      </c>
      <c r="E8" s="11" t="n">
        <f aca="false">COUNTIF('POA&amp;M Tracker'!$F$5:$F$34,"Moderate")</f>
        <v>2</v>
      </c>
    </row>
    <row r="9" customFormat="false" ht="15" hidden="false" customHeight="false" outlineLevel="0" collapsed="false">
      <c r="A9" s="10" t="s">
        <v>102</v>
      </c>
      <c r="B9" s="11" t="n">
        <f aca="false">COUNTIF('POA&amp;M Tracker'!$O$5:$O$34,"Delayed")</f>
        <v>0</v>
      </c>
      <c r="D9" s="10" t="s">
        <v>60</v>
      </c>
      <c r="E9" s="11" t="n">
        <f aca="false">COUNTIF('POA&amp;M Tracker'!$F$5:$F$34,"Low")</f>
        <v>1</v>
      </c>
    </row>
    <row r="10" customFormat="false" ht="15" hidden="false" customHeight="false" outlineLevel="0" collapsed="false">
      <c r="A10" s="10" t="s">
        <v>103</v>
      </c>
      <c r="B10" s="11" t="n">
        <f aca="false">COUNTIF('POA&amp;M Tracker'!$O$5:$O$34,"Risk Accepted")</f>
        <v>0</v>
      </c>
    </row>
    <row r="11" customFormat="false" ht="15" hidden="false" customHeight="false" outlineLevel="0" collapsed="false">
      <c r="A11" s="12" t="s">
        <v>104</v>
      </c>
      <c r="B11" s="13" t="n">
        <f aca="false">COUNTA('POA&amp;M Tracker'!$A$5:$A$34)</f>
        <v>5</v>
      </c>
    </row>
    <row r="14" customFormat="false" ht="16.15" hidden="false" customHeight="false" outlineLevel="0" collapsed="false">
      <c r="A14" s="8" t="s">
        <v>105</v>
      </c>
    </row>
    <row r="15" customFormat="false" ht="15" hidden="false" customHeight="false" outlineLevel="0" collapsed="false">
      <c r="A15" s="9" t="s">
        <v>20</v>
      </c>
      <c r="B15" s="9" t="s">
        <v>101</v>
      </c>
    </row>
    <row r="16" customFormat="false" ht="15" hidden="false" customHeight="false" outlineLevel="0" collapsed="false">
      <c r="A16" s="10" t="s">
        <v>106</v>
      </c>
      <c r="B16" s="11" t="n">
        <f aca="false">COUNTIF('POA&amp;M Tracker'!$S$5:$S$34,"Yes")</f>
        <v>0</v>
      </c>
    </row>
    <row r="17" customFormat="false" ht="15" hidden="false" customHeight="false" outlineLevel="0" collapsed="false">
      <c r="A17" s="10" t="s">
        <v>107</v>
      </c>
      <c r="B17" s="11" t="n">
        <f aca="false">COUNTIF('POA&amp;M Tracker'!$S$5:$S$34,"No")</f>
        <v>30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22.05" hidden="false" customHeight="false" outlineLevel="0" collapsed="false">
      <c r="A1" s="1" t="s">
        <v>108</v>
      </c>
      <c r="B1" s="1"/>
    </row>
    <row r="2" customFormat="false" ht="15" hidden="false" customHeight="false" outlineLevel="0" collapsed="false">
      <c r="A2" s="7" t="s">
        <v>109</v>
      </c>
      <c r="B2" s="7"/>
    </row>
    <row r="4" customFormat="false" ht="15" hidden="false" customHeight="false" outlineLevel="0" collapsed="false">
      <c r="A4" s="3" t="s">
        <v>110</v>
      </c>
      <c r="B4" s="3" t="s">
        <v>111</v>
      </c>
    </row>
    <row r="5" customFormat="false" ht="55.5" hidden="false" customHeight="true" outlineLevel="0" collapsed="false">
      <c r="A5" s="14" t="s">
        <v>2</v>
      </c>
      <c r="B5" s="4" t="s">
        <v>112</v>
      </c>
    </row>
    <row r="6" customFormat="false" ht="55.5" hidden="false" customHeight="true" outlineLevel="0" collapsed="false">
      <c r="A6" s="14" t="s">
        <v>3</v>
      </c>
      <c r="B6" s="4" t="s">
        <v>113</v>
      </c>
    </row>
    <row r="7" customFormat="false" ht="55.5" hidden="false" customHeight="true" outlineLevel="0" collapsed="false">
      <c r="A7" s="14" t="s">
        <v>4</v>
      </c>
      <c r="B7" s="4" t="s">
        <v>114</v>
      </c>
    </row>
    <row r="8" customFormat="false" ht="55.5" hidden="false" customHeight="true" outlineLevel="0" collapsed="false">
      <c r="A8" s="14" t="s">
        <v>5</v>
      </c>
      <c r="B8" s="4" t="s">
        <v>115</v>
      </c>
    </row>
    <row r="9" customFormat="false" ht="55.5" hidden="false" customHeight="true" outlineLevel="0" collapsed="false">
      <c r="A9" s="14" t="s">
        <v>6</v>
      </c>
      <c r="B9" s="4" t="s">
        <v>116</v>
      </c>
    </row>
    <row r="10" customFormat="false" ht="55.5" hidden="false" customHeight="true" outlineLevel="0" collapsed="false">
      <c r="A10" s="14" t="s">
        <v>7</v>
      </c>
      <c r="B10" s="4" t="s">
        <v>117</v>
      </c>
    </row>
    <row r="11" customFormat="false" ht="55.5" hidden="false" customHeight="true" outlineLevel="0" collapsed="false">
      <c r="A11" s="14" t="s">
        <v>8</v>
      </c>
      <c r="B11" s="4" t="s">
        <v>118</v>
      </c>
    </row>
    <row r="12" customFormat="false" ht="55.5" hidden="false" customHeight="true" outlineLevel="0" collapsed="false">
      <c r="A12" s="14" t="s">
        <v>9</v>
      </c>
      <c r="B12" s="4" t="s">
        <v>119</v>
      </c>
    </row>
    <row r="13" customFormat="false" ht="55.5" hidden="false" customHeight="true" outlineLevel="0" collapsed="false">
      <c r="A13" s="14" t="s">
        <v>120</v>
      </c>
      <c r="B13" s="4" t="s">
        <v>121</v>
      </c>
    </row>
    <row r="14" customFormat="false" ht="55.5" hidden="false" customHeight="true" outlineLevel="0" collapsed="false">
      <c r="A14" s="14" t="s">
        <v>14</v>
      </c>
      <c r="B14" s="4" t="s">
        <v>122</v>
      </c>
    </row>
    <row r="15" customFormat="false" ht="55.5" hidden="false" customHeight="true" outlineLevel="0" collapsed="false">
      <c r="A15" s="14" t="s">
        <v>15</v>
      </c>
      <c r="B15" s="4" t="s">
        <v>123</v>
      </c>
    </row>
    <row r="16" customFormat="false" ht="55.5" hidden="false" customHeight="true" outlineLevel="0" collapsed="false">
      <c r="A16" s="14" t="s">
        <v>16</v>
      </c>
      <c r="B16" s="4" t="s">
        <v>124</v>
      </c>
    </row>
    <row r="17" customFormat="false" ht="55.5" hidden="false" customHeight="true" outlineLevel="0" collapsed="false">
      <c r="A17" s="14" t="s">
        <v>17</v>
      </c>
      <c r="B17" s="4" t="s">
        <v>125</v>
      </c>
    </row>
    <row r="18" customFormat="false" ht="55.5" hidden="false" customHeight="true" outlineLevel="0" collapsed="false">
      <c r="A18" s="14" t="s">
        <v>18</v>
      </c>
      <c r="B18" s="4" t="s">
        <v>126</v>
      </c>
    </row>
    <row r="19" customFormat="false" ht="55.5" hidden="false" customHeight="true" outlineLevel="0" collapsed="false">
      <c r="A19" s="14" t="s">
        <v>127</v>
      </c>
      <c r="B19" s="4" t="s">
        <v>128</v>
      </c>
    </row>
    <row r="20" customFormat="false" ht="55.5" hidden="false" customHeight="true" outlineLevel="0" collapsed="false">
      <c r="A20" s="14" t="s">
        <v>129</v>
      </c>
      <c r="B20" s="4" t="s">
        <v>130</v>
      </c>
    </row>
    <row r="21" customFormat="false" ht="55.5" hidden="false" customHeight="true" outlineLevel="0" collapsed="false">
      <c r="A21" s="14" t="s">
        <v>21</v>
      </c>
      <c r="B21" s="4" t="s">
        <v>131</v>
      </c>
    </row>
    <row r="23" customFormat="false" ht="16.15" hidden="false" customHeight="false" outlineLevel="0" collapsed="false">
      <c r="A23" s="8" t="s">
        <v>132</v>
      </c>
    </row>
    <row r="24" customFormat="false" ht="33.75" hidden="false" customHeight="true" outlineLevel="0" collapsed="false">
      <c r="A24" s="15" t="s">
        <v>133</v>
      </c>
      <c r="B24" s="15"/>
    </row>
    <row r="25" customFormat="false" ht="33.75" hidden="false" customHeight="true" outlineLevel="0" collapsed="false">
      <c r="A25" s="15" t="s">
        <v>134</v>
      </c>
      <c r="B25" s="15"/>
    </row>
    <row r="26" customFormat="false" ht="33.75" hidden="false" customHeight="true" outlineLevel="0" collapsed="false">
      <c r="A26" s="15" t="s">
        <v>135</v>
      </c>
      <c r="B26" s="15"/>
    </row>
    <row r="27" customFormat="false" ht="33.75" hidden="false" customHeight="true" outlineLevel="0" collapsed="false">
      <c r="A27" s="15" t="s">
        <v>136</v>
      </c>
      <c r="B27" s="15"/>
    </row>
    <row r="28" customFormat="false" ht="33.75" hidden="false" customHeight="true" outlineLevel="0" collapsed="false">
      <c r="A28" s="15" t="s">
        <v>137</v>
      </c>
      <c r="B28" s="15"/>
    </row>
  </sheetData>
  <mergeCells count="7">
    <mergeCell ref="A1:B1"/>
    <mergeCell ref="A2:B2"/>
    <mergeCell ref="A24:B24"/>
    <mergeCell ref="A25:B25"/>
    <mergeCell ref="A26:B26"/>
    <mergeCell ref="A27:B27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2026-06-08T04:27:27Z</dcterms:created>
  <dc:creator>openpyxl</dc:creator>
  <dc:description/>
  <dc:language>en-US</dc:language>
  <cp:lastModifiedBy/>
  <dcterms:modified xsi:type="dcterms:W3CDTF">2026-06-08T04:27:27Z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